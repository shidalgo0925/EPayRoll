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c4f461f4389014/Escritorio/"/>
    </mc:Choice>
  </mc:AlternateContent>
  <xr:revisionPtr revIDLastSave="3" documentId="8_{21356F80-8D3D-4DCE-87C6-D68F560C1CF0}" xr6:coauthVersionLast="47" xr6:coauthVersionMax="47" xr10:uidLastSave="{AC41E5AF-3ABF-4201-802D-3987BDAB3295}"/>
  <bookViews>
    <workbookView xWindow="-120" yWindow="-120" windowWidth="29040" windowHeight="15840" xr2:uid="{42D56639-59B9-4264-8BF1-A61EE51D55CC}"/>
  </bookViews>
  <sheets>
    <sheet name="PLANILLA CAJA DE SEGUROS SOCIAL" sheetId="1" r:id="rId1"/>
    <sheet name="PLANILLA DE HONORAR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8" i="1" l="1"/>
  <c r="Z9" i="1"/>
  <c r="Z10" i="1"/>
  <c r="Z7" i="1"/>
  <c r="G9" i="1"/>
  <c r="J16" i="1"/>
  <c r="N16" i="1"/>
  <c r="V16" i="1"/>
  <c r="W15" i="2"/>
  <c r="AB11" i="2"/>
  <c r="AB15" i="2" s="1"/>
  <c r="AA11" i="2"/>
  <c r="AA15" i="2" s="1"/>
  <c r="Z11" i="2"/>
  <c r="Z15" i="2" s="1"/>
  <c r="V11" i="2"/>
  <c r="V15" i="2" s="1"/>
  <c r="U11" i="2"/>
  <c r="U15" i="2" s="1"/>
  <c r="T11" i="2"/>
  <c r="T15" i="2" s="1"/>
  <c r="R11" i="2"/>
  <c r="R15" i="2" s="1"/>
  <c r="P11" i="2"/>
  <c r="P15" i="2" s="1"/>
  <c r="M11" i="2"/>
  <c r="M15" i="2" s="1"/>
  <c r="K11" i="2"/>
  <c r="K15" i="2" s="1"/>
  <c r="J11" i="2"/>
  <c r="J15" i="2" s="1"/>
  <c r="I11" i="2"/>
  <c r="I15" i="2" s="1"/>
  <c r="G11" i="2"/>
  <c r="G15" i="2" s="1"/>
  <c r="H10" i="2"/>
  <c r="N10" i="2" s="1"/>
  <c r="O10" i="2" s="1"/>
  <c r="AD9" i="2"/>
  <c r="X9" i="2"/>
  <c r="H9" i="2"/>
  <c r="N9" i="2" s="1"/>
  <c r="O9" i="2" s="1"/>
  <c r="E9" i="2"/>
  <c r="AC8" i="2"/>
  <c r="W8" i="2"/>
  <c r="E8" i="2"/>
  <c r="AC7" i="2"/>
  <c r="W7" i="2"/>
  <c r="S7" i="2"/>
  <c r="X7" i="2" s="1"/>
  <c r="H7" i="2"/>
  <c r="L7" i="2" s="1"/>
  <c r="L11" i="2" s="1"/>
  <c r="L15" i="2" s="1"/>
  <c r="AC6" i="2"/>
  <c r="W6" i="2"/>
  <c r="W11" i="2" s="1"/>
  <c r="S6" i="2"/>
  <c r="X6" i="2" s="1"/>
  <c r="H6" i="2"/>
  <c r="N6" i="2" s="1"/>
  <c r="O6" i="2" s="1"/>
  <c r="F6" i="2"/>
  <c r="V11" i="1"/>
  <c r="U11" i="1"/>
  <c r="U16" i="1" s="1"/>
  <c r="T11" i="1"/>
  <c r="T16" i="1" s="1"/>
  <c r="N11" i="1"/>
  <c r="M11" i="1"/>
  <c r="M16" i="1" s="1"/>
  <c r="L11" i="1"/>
  <c r="L16" i="1" s="1"/>
  <c r="K11" i="1"/>
  <c r="K16" i="1" s="1"/>
  <c r="J11" i="1"/>
  <c r="I11" i="1"/>
  <c r="I16" i="1" s="1"/>
  <c r="H11" i="1"/>
  <c r="H16" i="1" s="1"/>
  <c r="O10" i="1"/>
  <c r="AB10" i="1" s="1"/>
  <c r="G10" i="1"/>
  <c r="W9" i="1"/>
  <c r="E9" i="1"/>
  <c r="O9" i="1" s="1"/>
  <c r="AA8" i="1"/>
  <c r="O8" i="1"/>
  <c r="Q8" i="1" s="1"/>
  <c r="G8" i="1"/>
  <c r="W7" i="1"/>
  <c r="W11" i="1" s="1"/>
  <c r="W16" i="1" s="1"/>
  <c r="E7" i="1"/>
  <c r="R7" i="1" s="1"/>
  <c r="R11" i="1" s="1"/>
  <c r="R16" i="1" s="1"/>
  <c r="N7" i="2" l="1"/>
  <c r="O7" i="2" s="1"/>
  <c r="Y7" i="2" s="1"/>
  <c r="Q10" i="1"/>
  <c r="O7" i="1"/>
  <c r="P7" i="1" s="1"/>
  <c r="Y9" i="2"/>
  <c r="Y10" i="2"/>
  <c r="P10" i="1"/>
  <c r="S10" i="1" s="1"/>
  <c r="X10" i="1" s="1"/>
  <c r="Y10" i="1" s="1"/>
  <c r="AC11" i="2"/>
  <c r="AC15" i="2" s="1"/>
  <c r="AD7" i="2"/>
  <c r="Q8" i="2"/>
  <c r="AD6" i="2"/>
  <c r="F8" i="2"/>
  <c r="F11" i="2" s="1"/>
  <c r="F15" i="2" s="1"/>
  <c r="H8" i="2"/>
  <c r="E11" i="2"/>
  <c r="E15" i="2" s="1"/>
  <c r="Q9" i="1"/>
  <c r="AB9" i="1"/>
  <c r="P9" i="1"/>
  <c r="AA9" i="1"/>
  <c r="F7" i="1"/>
  <c r="F11" i="1" s="1"/>
  <c r="F16" i="1" s="1"/>
  <c r="Q7" i="1"/>
  <c r="AB7" i="1"/>
  <c r="AB8" i="1"/>
  <c r="AC8" i="1" s="1"/>
  <c r="AA10" i="1"/>
  <c r="E11" i="1"/>
  <c r="E16" i="1" s="1"/>
  <c r="O11" i="1"/>
  <c r="O16" i="1" s="1"/>
  <c r="AA7" i="1"/>
  <c r="G7" i="1"/>
  <c r="G11" i="1" s="1"/>
  <c r="G16" i="1" s="1"/>
  <c r="P8" i="1"/>
  <c r="S8" i="1" s="1"/>
  <c r="X8" i="1" s="1"/>
  <c r="Y8" i="1" s="1"/>
  <c r="H11" i="2" l="1"/>
  <c r="H15" i="2" s="1"/>
  <c r="N8" i="2"/>
  <c r="AC10" i="1"/>
  <c r="AD10" i="1" s="1"/>
  <c r="AB11" i="1"/>
  <c r="AB16" i="1" s="1"/>
  <c r="Q11" i="1"/>
  <c r="Q16" i="1" s="1"/>
  <c r="S9" i="1"/>
  <c r="X9" i="1" s="1"/>
  <c r="Y9" i="1" s="1"/>
  <c r="Q11" i="2"/>
  <c r="Q15" i="2" s="1"/>
  <c r="S8" i="2"/>
  <c r="Y6" i="2"/>
  <c r="P11" i="1"/>
  <c r="P16" i="1" s="1"/>
  <c r="S7" i="1"/>
  <c r="AD8" i="1"/>
  <c r="AA11" i="1"/>
  <c r="AA16" i="1" s="1"/>
  <c r="Z11" i="1"/>
  <c r="Z16" i="1" s="1"/>
  <c r="AC7" i="1"/>
  <c r="AC9" i="1"/>
  <c r="O8" i="2" l="1"/>
  <c r="O11" i="2" s="1"/>
  <c r="O15" i="2" s="1"/>
  <c r="N11" i="2"/>
  <c r="N15" i="2" s="1"/>
  <c r="AD9" i="1"/>
  <c r="X8" i="2"/>
  <c r="S11" i="2"/>
  <c r="S15" i="2" s="1"/>
  <c r="AD8" i="2"/>
  <c r="AD11" i="2" s="1"/>
  <c r="AD15" i="2" s="1"/>
  <c r="S11" i="1"/>
  <c r="S16" i="1" s="1"/>
  <c r="X7" i="1"/>
  <c r="AD7" i="1"/>
  <c r="AC11" i="1"/>
  <c r="AC16" i="1" s="1"/>
  <c r="AD11" i="1" l="1"/>
  <c r="AD16" i="1" s="1"/>
  <c r="Y8" i="2"/>
  <c r="X11" i="2"/>
  <c r="X15" i="2" s="1"/>
  <c r="X11" i="1"/>
  <c r="X16" i="1" s="1"/>
  <c r="Y7" i="1"/>
  <c r="Y11" i="1" s="1"/>
  <c r="Y16" i="1" s="1"/>
  <c r="Y11" i="2" l="1"/>
  <c r="Y15" i="2" s="1"/>
</calcChain>
</file>

<file path=xl/sharedStrings.xml><?xml version="1.0" encoding="utf-8"?>
<sst xmlns="http://schemas.openxmlformats.org/spreadsheetml/2006/main" count="119" uniqueCount="66">
  <si>
    <t>1ERA QUINCENA</t>
  </si>
  <si>
    <t>PERIODO DE PAGO</t>
  </si>
  <si>
    <t>Honorarios</t>
  </si>
  <si>
    <t>Descuentos</t>
  </si>
  <si>
    <t>Gastos Empresa</t>
  </si>
  <si>
    <t>CUENTAS</t>
  </si>
  <si>
    <t>61101</t>
  </si>
  <si>
    <t>20200</t>
  </si>
  <si>
    <t>11200</t>
  </si>
  <si>
    <t>20901</t>
  </si>
  <si>
    <t>FICHA</t>
  </si>
  <si>
    <t>NOMBRE Y APELLIDO</t>
  </si>
  <si>
    <t>IDENTIFICACION</t>
  </si>
  <si>
    <t>SALARIO MENSUAL</t>
  </si>
  <si>
    <t>SALARIO QUINCENAL</t>
  </si>
  <si>
    <t>DIAS DE PAGO (0.05)</t>
  </si>
  <si>
    <t>RATAX  HORA</t>
  </si>
  <si>
    <t>DÍA  LIBRE  TRABAJADO</t>
  </si>
  <si>
    <t>Recargo de dias feriados(2.5)</t>
  </si>
  <si>
    <t xml:space="preserve"> Recargo  domingo (0.5)</t>
  </si>
  <si>
    <t>SALARIO</t>
  </si>
  <si>
    <t>horas  no trabajadas</t>
  </si>
  <si>
    <t>Monto</t>
  </si>
  <si>
    <t>ISLR</t>
  </si>
  <si>
    <t>Cpp Prestaciones</t>
  </si>
  <si>
    <t>Prestamo Empleados</t>
  </si>
  <si>
    <t>Desc. Prest.</t>
  </si>
  <si>
    <t>Descuento Banco G.</t>
  </si>
  <si>
    <t>Saldo Prestamo</t>
  </si>
  <si>
    <t>Total Desc.</t>
  </si>
  <si>
    <t>Cancelacion</t>
  </si>
  <si>
    <t>Seg. Soc. Patronal 12.25%</t>
  </si>
  <si>
    <t>Seg. Educativo 1.50%</t>
  </si>
  <si>
    <t>Riesgo Prof. 0.98%</t>
  </si>
  <si>
    <t>Total Cpp Prest</t>
  </si>
  <si>
    <t>juan Perez</t>
  </si>
  <si>
    <t>6-69-13</t>
  </si>
  <si>
    <t>David  Fernandez</t>
  </si>
  <si>
    <t>3-738-253</t>
  </si>
  <si>
    <t>Abigail Govea</t>
  </si>
  <si>
    <t>8-993-1252</t>
  </si>
  <si>
    <t>Ibania Baltodano</t>
  </si>
  <si>
    <t>E-8-93577</t>
  </si>
  <si>
    <t>Planilla</t>
  </si>
  <si>
    <t>62101</t>
  </si>
  <si>
    <t>62201</t>
  </si>
  <si>
    <t>62202</t>
  </si>
  <si>
    <t>62203</t>
  </si>
  <si>
    <t>DIAS DE PAGO</t>
  </si>
  <si>
    <t>DESCUENTO DE  DIAS NO TRABADOS</t>
  </si>
  <si>
    <t>DEV. ISR</t>
  </si>
  <si>
    <t>Seguro Social  9.75%</t>
  </si>
  <si>
    <t>Seguro Educ. 1,25%</t>
  </si>
  <si>
    <t>DIAS DE DESC.</t>
  </si>
  <si>
    <t>TOTAL DESCT.</t>
  </si>
  <si>
    <t>Edwin Lopez</t>
  </si>
  <si>
    <t>8-937-952</t>
  </si>
  <si>
    <t>TOTAL</t>
  </si>
  <si>
    <t>Elaborado por:________________________</t>
  </si>
  <si>
    <t>Autorizado por:____________________________</t>
  </si>
  <si>
    <t>16 AL 30 DE JUNIO 2026</t>
  </si>
  <si>
    <t>BONO 30DE CADA MES</t>
  </si>
  <si>
    <t>Celular</t>
  </si>
  <si>
    <t>6281-0255</t>
  </si>
  <si>
    <t>6207-5181</t>
  </si>
  <si>
    <t>Seg. Soc. Patronal 13.25%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</si>
</sst>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B/.&quot;* #,##0.00_-;\-&quot;B/.&quot;* #,##0.00_-;_-&quot;B/.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4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2" fillId="0" borderId="6" xfId="0" applyFont="1" applyBorder="1"/>
    <xf numFmtId="0" fontId="0" fillId="0" borderId="6" xfId="0" applyBorder="1"/>
    <xf numFmtId="0" fontId="0" fillId="0" borderId="7" xfId="0" applyBorder="1"/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/>
    <xf numFmtId="0" fontId="4" fillId="0" borderId="4" xfId="0" applyFont="1" applyBorder="1" applyAlignment="1">
      <alignment horizontal="center"/>
    </xf>
    <xf numFmtId="4" fontId="0" fillId="0" borderId="4" xfId="0" applyNumberFormat="1" applyBorder="1" applyAlignment="1">
      <alignment horizontal="right" vertical="center"/>
    </xf>
    <xf numFmtId="4" fontId="0" fillId="2" borderId="8" xfId="0" applyNumberFormat="1" applyFill="1" applyBorder="1" applyAlignment="1">
      <alignment horizontal="right" vertical="center"/>
    </xf>
    <xf numFmtId="4" fontId="2" fillId="3" borderId="4" xfId="0" applyNumberFormat="1" applyFont="1" applyFill="1" applyBorder="1" applyAlignment="1">
      <alignment horizontal="right" vertical="center"/>
    </xf>
    <xf numFmtId="4" fontId="2" fillId="4" borderId="4" xfId="0" applyNumberFormat="1" applyFont="1" applyFill="1" applyBorder="1" applyAlignment="1">
      <alignment horizontal="right" vertical="center"/>
    </xf>
    <xf numFmtId="4" fontId="0" fillId="4" borderId="4" xfId="0" applyNumberFormat="1" applyFill="1" applyBorder="1" applyAlignment="1">
      <alignment horizontal="right" vertical="center"/>
    </xf>
    <xf numFmtId="4" fontId="2" fillId="2" borderId="4" xfId="0" applyNumberFormat="1" applyFont="1" applyFill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4" xfId="0" applyFont="1" applyBorder="1"/>
    <xf numFmtId="4" fontId="2" fillId="3" borderId="8" xfId="0" applyNumberFormat="1" applyFont="1" applyFill="1" applyBorder="1" applyAlignment="1">
      <alignment horizontal="right" vertical="center"/>
    </xf>
    <xf numFmtId="4" fontId="0" fillId="0" borderId="4" xfId="0" applyNumberFormat="1" applyBorder="1"/>
    <xf numFmtId="4" fontId="0" fillId="0" borderId="9" xfId="0" applyNumberFormat="1" applyBorder="1"/>
    <xf numFmtId="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right" vertical="center"/>
    </xf>
    <xf numFmtId="4" fontId="0" fillId="0" borderId="0" xfId="0" applyNumberFormat="1"/>
    <xf numFmtId="0" fontId="2" fillId="0" borderId="0" xfId="0" applyFont="1" applyAlignment="1">
      <alignment horizontal="right" vertical="center"/>
    </xf>
    <xf numFmtId="0" fontId="5" fillId="0" borderId="0" xfId="0" applyFont="1"/>
    <xf numFmtId="0" fontId="6" fillId="0" borderId="0" xfId="0" applyFont="1"/>
    <xf numFmtId="4" fontId="6" fillId="0" borderId="10" xfId="0" applyNumberFormat="1" applyFont="1" applyBorder="1"/>
    <xf numFmtId="0" fontId="5" fillId="0" borderId="0" xfId="0" applyFont="1" applyAlignment="1">
      <alignment horizontal="right" vertical="center"/>
    </xf>
    <xf numFmtId="4" fontId="2" fillId="0" borderId="0" xfId="0" applyNumberFormat="1" applyFont="1"/>
    <xf numFmtId="49" fontId="0" fillId="0" borderId="0" xfId="1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B549-3F81-44DD-B170-9A27459A4F33}">
  <dimension ref="A1:AZ35"/>
  <sheetViews>
    <sheetView tabSelected="1" workbookViewId="0">
      <selection activeCell="V35" sqref="V35"/>
    </sheetView>
  </sheetViews>
  <sheetFormatPr baseColWidth="10" defaultRowHeight="15" x14ac:dyDescent="0.25"/>
  <cols>
    <col min="1" max="1" width="6.28515625" bestFit="1" customWidth="1"/>
    <col min="2" max="2" width="18.42578125" customWidth="1"/>
    <col min="3" max="3" width="13.7109375" customWidth="1"/>
    <col min="5" max="5" width="9.42578125" customWidth="1"/>
    <col min="6" max="6" width="14.28515625" style="2" hidden="1" customWidth="1"/>
    <col min="7" max="7" width="10.85546875" style="2" customWidth="1"/>
    <col min="8" max="9" width="8.7109375" style="2" customWidth="1"/>
    <col min="10" max="10" width="7.85546875" style="2" hidden="1" customWidth="1"/>
    <col min="11" max="11" width="7.28515625" style="2" customWidth="1"/>
    <col min="12" max="14" width="8.7109375" style="2" customWidth="1"/>
    <col min="15" max="15" width="9.7109375" style="2" customWidth="1"/>
    <col min="16" max="16" width="9.42578125" style="2" customWidth="1"/>
    <col min="17" max="17" width="10.85546875" style="2" customWidth="1"/>
    <col min="18" max="18" width="7.7109375" style="2" customWidth="1"/>
    <col min="19" max="19" width="10.28515625" style="2" customWidth="1"/>
    <col min="20" max="20" width="10.85546875" style="2" customWidth="1"/>
    <col min="21" max="21" width="8" customWidth="1"/>
    <col min="22" max="22" width="10.28515625" customWidth="1"/>
    <col min="23" max="23" width="8.28515625" customWidth="1"/>
    <col min="24" max="24" width="9.7109375" customWidth="1"/>
    <col min="25" max="25" width="11.7109375" customWidth="1"/>
    <col min="33" max="33" width="11.7109375" bestFit="1" customWidth="1"/>
  </cols>
  <sheetData>
    <row r="1" spans="1:52" ht="15.75" thickBot="1" x14ac:dyDescent="0.3">
      <c r="B1" s="1" t="s">
        <v>0</v>
      </c>
      <c r="C1" s="1"/>
      <c r="AH1" s="1"/>
    </row>
    <row r="2" spans="1:52" ht="15.75" thickBot="1" x14ac:dyDescent="0.3">
      <c r="B2" s="1" t="s">
        <v>1</v>
      </c>
      <c r="C2" s="1"/>
      <c r="D2" s="3" t="s">
        <v>60</v>
      </c>
      <c r="E2" s="4"/>
      <c r="F2" s="4"/>
      <c r="G2" s="5"/>
      <c r="AH2" s="1"/>
    </row>
    <row r="3" spans="1:52" x14ac:dyDescent="0.25">
      <c r="B3" s="1" t="s">
        <v>43</v>
      </c>
      <c r="C3" s="1"/>
      <c r="F3" s="6"/>
      <c r="G3" s="6"/>
      <c r="H3" s="6"/>
      <c r="I3" s="6"/>
      <c r="J3" s="6"/>
      <c r="K3" s="6"/>
      <c r="L3" s="6"/>
      <c r="M3" s="6"/>
      <c r="N3" s="6"/>
      <c r="O3" s="6"/>
      <c r="P3" s="7" t="s">
        <v>3</v>
      </c>
      <c r="Q3" s="7"/>
      <c r="R3" s="7"/>
      <c r="S3" s="7"/>
      <c r="T3" s="7"/>
      <c r="U3" s="7"/>
      <c r="V3" s="7"/>
      <c r="W3" s="7"/>
      <c r="X3" s="7"/>
      <c r="Y3" s="8"/>
      <c r="Z3" s="9" t="s">
        <v>4</v>
      </c>
      <c r="AA3" s="9"/>
      <c r="AB3" s="9"/>
      <c r="AC3" s="9"/>
      <c r="AD3" s="9"/>
      <c r="AE3" s="44"/>
      <c r="AF3" s="44"/>
      <c r="AG3" s="44"/>
      <c r="AH3" s="44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</row>
    <row r="4" spans="1:52" x14ac:dyDescent="0.25">
      <c r="A4" s="10"/>
      <c r="B4" s="11" t="s">
        <v>5</v>
      </c>
      <c r="C4" s="11"/>
      <c r="D4" s="12"/>
      <c r="E4" s="13"/>
      <c r="F4" s="14"/>
      <c r="G4" s="15"/>
      <c r="H4" s="15"/>
      <c r="I4" s="15"/>
      <c r="J4" s="15"/>
      <c r="K4" s="15"/>
      <c r="L4" s="15"/>
      <c r="M4" s="15"/>
      <c r="N4" s="15"/>
      <c r="O4" s="16" t="s">
        <v>44</v>
      </c>
      <c r="P4" s="17" t="s">
        <v>7</v>
      </c>
      <c r="Q4" s="14" t="s">
        <v>7</v>
      </c>
      <c r="R4" s="15" t="s">
        <v>7</v>
      </c>
      <c r="S4" s="18"/>
      <c r="T4" s="17" t="s">
        <v>8</v>
      </c>
      <c r="U4" s="17" t="s">
        <v>8</v>
      </c>
      <c r="V4" s="15"/>
      <c r="W4" s="17" t="s">
        <v>8</v>
      </c>
      <c r="X4" s="15"/>
      <c r="Y4" s="19" t="s">
        <v>9</v>
      </c>
      <c r="Z4" s="20" t="s">
        <v>45</v>
      </c>
      <c r="AA4" s="18" t="s">
        <v>46</v>
      </c>
      <c r="AB4" s="18" t="s">
        <v>47</v>
      </c>
      <c r="AC4" s="21" t="s">
        <v>7</v>
      </c>
      <c r="AD4" s="18"/>
      <c r="AE4" s="44"/>
      <c r="AF4" s="44"/>
      <c r="AG4" s="44"/>
      <c r="AH4" s="44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</row>
    <row r="5" spans="1:52" ht="45" x14ac:dyDescent="0.25">
      <c r="A5" s="22" t="s">
        <v>10</v>
      </c>
      <c r="B5" s="22" t="s">
        <v>11</v>
      </c>
      <c r="C5" s="22"/>
      <c r="D5" s="22" t="s">
        <v>12</v>
      </c>
      <c r="E5" s="22" t="s">
        <v>13</v>
      </c>
      <c r="F5" s="22" t="s">
        <v>14</v>
      </c>
      <c r="G5" s="23" t="s">
        <v>48</v>
      </c>
      <c r="H5" s="52" t="s">
        <v>49</v>
      </c>
      <c r="I5" s="53"/>
      <c r="J5" s="53"/>
      <c r="K5" s="53"/>
      <c r="L5" s="54"/>
      <c r="M5" s="55"/>
      <c r="N5" s="23" t="s">
        <v>50</v>
      </c>
      <c r="O5" s="24" t="s">
        <v>20</v>
      </c>
      <c r="P5" s="25" t="s">
        <v>51</v>
      </c>
      <c r="Q5" s="22" t="s">
        <v>52</v>
      </c>
      <c r="R5" s="23" t="s">
        <v>23</v>
      </c>
      <c r="S5" s="26" t="s">
        <v>24</v>
      </c>
      <c r="T5" s="27" t="s">
        <v>25</v>
      </c>
      <c r="U5" s="28" t="s">
        <v>26</v>
      </c>
      <c r="V5" s="29" t="s">
        <v>27</v>
      </c>
      <c r="W5" s="27" t="s">
        <v>28</v>
      </c>
      <c r="X5" s="26" t="s">
        <v>29</v>
      </c>
      <c r="Y5" s="24" t="s">
        <v>30</v>
      </c>
      <c r="Z5" s="31" t="s">
        <v>65</v>
      </c>
      <c r="AA5" s="26" t="s">
        <v>32</v>
      </c>
      <c r="AB5" s="26" t="s">
        <v>33</v>
      </c>
      <c r="AC5" s="32" t="s">
        <v>4</v>
      </c>
      <c r="AD5" s="26" t="s">
        <v>34</v>
      </c>
      <c r="AE5" s="44"/>
      <c r="AF5" s="44"/>
      <c r="AG5" s="44"/>
      <c r="AH5" s="44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</row>
    <row r="6" spans="1:52" ht="30" x14ac:dyDescent="0.25">
      <c r="A6" s="22"/>
      <c r="B6" s="22"/>
      <c r="C6" s="22" t="s">
        <v>62</v>
      </c>
      <c r="D6" s="22"/>
      <c r="E6" s="22"/>
      <c r="F6" s="22"/>
      <c r="G6" s="22"/>
      <c r="H6" s="22" t="s">
        <v>53</v>
      </c>
      <c r="I6" s="22" t="s">
        <v>54</v>
      </c>
      <c r="J6" s="22"/>
      <c r="K6" s="22"/>
      <c r="L6" s="22"/>
      <c r="M6" s="22"/>
      <c r="N6" s="22"/>
      <c r="O6" s="24"/>
      <c r="P6" s="22"/>
      <c r="Q6" s="22"/>
      <c r="R6" s="22"/>
      <c r="S6" s="26"/>
      <c r="T6" s="27"/>
      <c r="U6" s="27"/>
      <c r="V6" s="27"/>
      <c r="W6" s="27"/>
      <c r="X6" s="26"/>
      <c r="Y6" s="24"/>
      <c r="Z6" s="26"/>
      <c r="AA6" s="26"/>
      <c r="AB6" s="26"/>
      <c r="AC6" s="26"/>
      <c r="AD6" s="26"/>
      <c r="AE6" s="44"/>
      <c r="AF6" s="44"/>
      <c r="AG6" s="44"/>
      <c r="AH6" s="44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</row>
    <row r="7" spans="1:52" x14ac:dyDescent="0.25">
      <c r="A7" s="46">
        <v>1</v>
      </c>
      <c r="B7" s="46" t="s">
        <v>35</v>
      </c>
      <c r="C7" s="46" t="s">
        <v>64</v>
      </c>
      <c r="D7" s="36" t="s">
        <v>36</v>
      </c>
      <c r="E7" s="37">
        <f>850*2</f>
        <v>1700</v>
      </c>
      <c r="F7" s="37">
        <f>+E7/2</f>
        <v>850</v>
      </c>
      <c r="G7" s="37">
        <f>+E7/2</f>
        <v>850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56">
        <f>+E7/208*104</f>
        <v>850</v>
      </c>
      <c r="P7" s="37">
        <f>+O7*9.75%</f>
        <v>82.875</v>
      </c>
      <c r="Q7" s="37">
        <f>+O7*1.25%</f>
        <v>10.625</v>
      </c>
      <c r="R7" s="37">
        <f>(+E7*13-11000)*15%/13/2</f>
        <v>64.038461538461533</v>
      </c>
      <c r="S7" s="39">
        <f>+P7+Q7+R7</f>
        <v>157.53846153846155</v>
      </c>
      <c r="T7" s="40">
        <v>0</v>
      </c>
      <c r="U7" s="41">
        <v>0</v>
      </c>
      <c r="V7" s="41">
        <v>0</v>
      </c>
      <c r="W7" s="40">
        <f>+T7-U7</f>
        <v>0</v>
      </c>
      <c r="X7" s="39">
        <f>+U7+S7+V7</f>
        <v>157.53846153846155</v>
      </c>
      <c r="Y7" s="42">
        <f>+O7-X7</f>
        <v>692.46153846153845</v>
      </c>
      <c r="Z7" s="37">
        <f>+O7*13.25%</f>
        <v>112.625</v>
      </c>
      <c r="AA7" s="37">
        <f>+O7*1.5%</f>
        <v>12.75</v>
      </c>
      <c r="AB7" s="37">
        <f>+O7*0.98%</f>
        <v>8.33</v>
      </c>
      <c r="AC7" s="43">
        <f>+Z7+AA7+AB7</f>
        <v>133.70500000000001</v>
      </c>
      <c r="AD7" s="39">
        <f>+AC7+S7</f>
        <v>291.24346153846159</v>
      </c>
      <c r="AE7" s="44"/>
      <c r="AF7" s="44"/>
      <c r="AG7" s="44"/>
      <c r="AH7" s="44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</row>
    <row r="8" spans="1:52" x14ac:dyDescent="0.25">
      <c r="A8" s="46">
        <v>2</v>
      </c>
      <c r="B8" s="35" t="s">
        <v>37</v>
      </c>
      <c r="C8" s="35"/>
      <c r="D8" s="36" t="s">
        <v>38</v>
      </c>
      <c r="E8" s="37">
        <v>825</v>
      </c>
      <c r="F8" s="37"/>
      <c r="G8" s="37">
        <f>+E8/2</f>
        <v>412.5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56">
        <f>+E8/208*104</f>
        <v>412.5</v>
      </c>
      <c r="P8" s="37">
        <f>+O8*9.75%</f>
        <v>40.21875</v>
      </c>
      <c r="Q8" s="37">
        <f>+O8*1.25%</f>
        <v>5.15625</v>
      </c>
      <c r="R8" s="37">
        <v>0</v>
      </c>
      <c r="S8" s="39">
        <f>+P8+Q8+R8</f>
        <v>45.375</v>
      </c>
      <c r="T8" s="40">
        <v>0</v>
      </c>
      <c r="U8" s="41">
        <v>0</v>
      </c>
      <c r="V8" s="41">
        <v>0</v>
      </c>
      <c r="W8" s="40">
        <v>0</v>
      </c>
      <c r="X8" s="39">
        <f>+U8+S8+V8</f>
        <v>45.375</v>
      </c>
      <c r="Y8" s="42">
        <f>+O8-X8</f>
        <v>367.125</v>
      </c>
      <c r="Z8" s="37">
        <f t="shared" ref="Z8:Z10" si="0">+O8*13.25%</f>
        <v>54.65625</v>
      </c>
      <c r="AA8" s="37">
        <f>+O8*1.5%</f>
        <v>6.1875</v>
      </c>
      <c r="AB8" s="37">
        <f>+O8*0.98%</f>
        <v>4.0424999999999995</v>
      </c>
      <c r="AC8" s="43">
        <f>+Z8+AA8+AB8</f>
        <v>64.886250000000004</v>
      </c>
      <c r="AD8" s="39">
        <f>+AC8+S8</f>
        <v>110.26125</v>
      </c>
      <c r="AE8" s="44"/>
      <c r="AF8" s="44"/>
      <c r="AG8" s="44"/>
      <c r="AH8" s="44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</row>
    <row r="9" spans="1:52" x14ac:dyDescent="0.25">
      <c r="A9" s="46">
        <v>3</v>
      </c>
      <c r="B9" s="46" t="s">
        <v>55</v>
      </c>
      <c r="C9" s="46" t="s">
        <v>63</v>
      </c>
      <c r="D9" s="36" t="s">
        <v>56</v>
      </c>
      <c r="E9" s="37">
        <f>412.5*2</f>
        <v>825</v>
      </c>
      <c r="F9" s="37"/>
      <c r="G9" s="37">
        <f>+E9/2</f>
        <v>412.5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56">
        <f>+E9/208*104</f>
        <v>412.5</v>
      </c>
      <c r="P9" s="37">
        <f>+O9*9.75%</f>
        <v>40.21875</v>
      </c>
      <c r="Q9" s="37">
        <f>+O9*1.25%</f>
        <v>5.15625</v>
      </c>
      <c r="R9" s="37">
        <v>0</v>
      </c>
      <c r="S9" s="39">
        <f>+P9+Q9+R9</f>
        <v>45.375</v>
      </c>
      <c r="T9" s="40">
        <v>0</v>
      </c>
      <c r="U9" s="41">
        <v>0</v>
      </c>
      <c r="V9" s="41">
        <v>0</v>
      </c>
      <c r="W9" s="40">
        <f>+T9-U9</f>
        <v>0</v>
      </c>
      <c r="X9" s="39">
        <f>+U9+S9+V9</f>
        <v>45.375</v>
      </c>
      <c r="Y9" s="42">
        <f>+O9-X9</f>
        <v>367.125</v>
      </c>
      <c r="Z9" s="37">
        <f t="shared" si="0"/>
        <v>54.65625</v>
      </c>
      <c r="AA9" s="37">
        <f>+O9*1.5%</f>
        <v>6.1875</v>
      </c>
      <c r="AB9" s="37">
        <f>+O9*0.98%</f>
        <v>4.0424999999999995</v>
      </c>
      <c r="AC9" s="43">
        <f>+Z9+AA9+AB9</f>
        <v>64.886250000000004</v>
      </c>
      <c r="AD9" s="39">
        <f>+AC9+S9</f>
        <v>110.26125</v>
      </c>
      <c r="AE9" s="44"/>
      <c r="AF9" s="44"/>
      <c r="AG9" s="44"/>
      <c r="AH9" s="44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</row>
    <row r="10" spans="1:52" x14ac:dyDescent="0.25">
      <c r="A10" s="46">
        <v>4</v>
      </c>
      <c r="B10" s="35" t="s">
        <v>39</v>
      </c>
      <c r="C10" s="35"/>
      <c r="D10" s="48" t="s">
        <v>40</v>
      </c>
      <c r="E10" s="37">
        <v>650</v>
      </c>
      <c r="F10" s="37"/>
      <c r="G10" s="37">
        <f t="shared" ref="G10" si="1">+E10/2</f>
        <v>325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56">
        <f>+E10/208*104</f>
        <v>325</v>
      </c>
      <c r="P10" s="37">
        <f t="shared" ref="P10" si="2">+O10*9.75%</f>
        <v>31.6875</v>
      </c>
      <c r="Q10" s="37">
        <f>+O10*1.25%</f>
        <v>4.0625</v>
      </c>
      <c r="R10" s="37">
        <v>0</v>
      </c>
      <c r="S10" s="39">
        <f>+P10+Q10+R10</f>
        <v>35.75</v>
      </c>
      <c r="T10" s="40">
        <v>0</v>
      </c>
      <c r="U10" s="41">
        <v>0</v>
      </c>
      <c r="V10" s="41">
        <v>0</v>
      </c>
      <c r="W10" s="40">
        <v>0</v>
      </c>
      <c r="X10" s="39">
        <f>+U10+S10+V10</f>
        <v>35.75</v>
      </c>
      <c r="Y10" s="42">
        <f>+O10-X10</f>
        <v>289.25</v>
      </c>
      <c r="Z10" s="37">
        <f t="shared" si="0"/>
        <v>43.0625</v>
      </c>
      <c r="AA10" s="37">
        <f>+O10*1.5%</f>
        <v>4.875</v>
      </c>
      <c r="AB10" s="37">
        <f>+O10*0.98%</f>
        <v>3.1850000000000001</v>
      </c>
      <c r="AC10" s="43">
        <f>+Z10+AA10+AB10</f>
        <v>51.122500000000002</v>
      </c>
      <c r="AD10" s="39">
        <f t="shared" ref="AD10" si="3">+AC10+S10</f>
        <v>86.872500000000002</v>
      </c>
      <c r="AE10" s="44"/>
      <c r="AF10" s="44"/>
      <c r="AG10" s="44"/>
      <c r="AH10" s="44"/>
      <c r="AI10" s="45"/>
      <c r="AJ10" s="45"/>
      <c r="AK10" s="45"/>
      <c r="AL10" s="45"/>
      <c r="AM10" s="45"/>
      <c r="AN10" s="45"/>
      <c r="AO10" s="45"/>
      <c r="AP10" s="45"/>
      <c r="AR10" s="45"/>
      <c r="AS10" s="45"/>
      <c r="AT10" s="45"/>
      <c r="AU10" s="45"/>
      <c r="AV10" s="45"/>
    </row>
    <row r="11" spans="1:52" x14ac:dyDescent="0.25">
      <c r="A11" s="1"/>
      <c r="D11" s="57"/>
      <c r="E11" s="44">
        <f>SUM(E7:E10)</f>
        <v>4000</v>
      </c>
      <c r="F11" s="44">
        <f t="shared" ref="F11:AD11" si="4">SUM(F7:F10)</f>
        <v>850</v>
      </c>
      <c r="G11" s="44">
        <f t="shared" si="4"/>
        <v>2000</v>
      </c>
      <c r="H11" s="44">
        <f t="shared" si="4"/>
        <v>0</v>
      </c>
      <c r="I11" s="44">
        <f t="shared" si="4"/>
        <v>0</v>
      </c>
      <c r="J11" s="44">
        <f t="shared" si="4"/>
        <v>0</v>
      </c>
      <c r="K11" s="44">
        <f t="shared" si="4"/>
        <v>0</v>
      </c>
      <c r="L11" s="44">
        <f t="shared" si="4"/>
        <v>0</v>
      </c>
      <c r="M11" s="44">
        <f t="shared" si="4"/>
        <v>0</v>
      </c>
      <c r="N11" s="44">
        <f t="shared" si="4"/>
        <v>0</v>
      </c>
      <c r="O11" s="44">
        <f t="shared" si="4"/>
        <v>2000</v>
      </c>
      <c r="P11" s="44">
        <f t="shared" si="4"/>
        <v>195</v>
      </c>
      <c r="Q11" s="44">
        <f t="shared" si="4"/>
        <v>25</v>
      </c>
      <c r="R11" s="44">
        <f t="shared" si="4"/>
        <v>64.038461538461533</v>
      </c>
      <c r="S11" s="44">
        <f t="shared" si="4"/>
        <v>284.03846153846155</v>
      </c>
      <c r="T11" s="44">
        <f t="shared" si="4"/>
        <v>0</v>
      </c>
      <c r="U11" s="44">
        <f t="shared" si="4"/>
        <v>0</v>
      </c>
      <c r="V11" s="44">
        <f t="shared" si="4"/>
        <v>0</v>
      </c>
      <c r="W11" s="44">
        <f t="shared" si="4"/>
        <v>0</v>
      </c>
      <c r="X11" s="44">
        <f t="shared" si="4"/>
        <v>284.03846153846155</v>
      </c>
      <c r="Y11" s="44">
        <f t="shared" si="4"/>
        <v>1715.9615384615386</v>
      </c>
      <c r="Z11" s="44">
        <f t="shared" si="4"/>
        <v>265</v>
      </c>
      <c r="AA11" s="44">
        <f t="shared" si="4"/>
        <v>30</v>
      </c>
      <c r="AB11" s="44">
        <f t="shared" si="4"/>
        <v>19.599999999999998</v>
      </c>
      <c r="AC11" s="44">
        <f t="shared" si="4"/>
        <v>314.60000000000002</v>
      </c>
      <c r="AD11" s="44">
        <f t="shared" si="4"/>
        <v>598.63846153846157</v>
      </c>
      <c r="AE11" s="44"/>
      <c r="AF11" s="44"/>
      <c r="AG11" s="44"/>
      <c r="AH11" s="44"/>
      <c r="AI11" s="45"/>
      <c r="AJ11" s="45"/>
      <c r="AK11" s="45"/>
      <c r="AL11" s="45"/>
      <c r="AM11" s="45"/>
      <c r="AN11" s="45"/>
      <c r="AO11" s="45"/>
      <c r="AP11" s="45"/>
      <c r="AR11" s="45"/>
      <c r="AS11" s="45"/>
      <c r="AT11" s="45"/>
      <c r="AU11" s="45"/>
      <c r="AV11" s="45"/>
    </row>
    <row r="12" spans="1:52" x14ac:dyDescent="0.25">
      <c r="A12" s="1"/>
      <c r="D12" s="57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5"/>
      <c r="AJ12" s="45"/>
      <c r="AK12" s="45"/>
      <c r="AL12" s="45"/>
      <c r="AM12" s="45"/>
      <c r="AN12" s="45"/>
      <c r="AO12" s="45"/>
      <c r="AP12" s="45"/>
      <c r="AR12" s="45"/>
      <c r="AS12" s="45"/>
      <c r="AT12" s="45"/>
      <c r="AU12" s="45"/>
      <c r="AV12" s="45"/>
    </row>
    <row r="13" spans="1:52" x14ac:dyDescent="0.25">
      <c r="A13" s="1"/>
      <c r="D13" s="57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5"/>
      <c r="AJ13" s="45"/>
      <c r="AK13" s="45"/>
      <c r="AL13" s="45"/>
      <c r="AM13" s="45"/>
      <c r="AN13" s="45"/>
      <c r="AO13" s="45"/>
      <c r="AP13" s="45"/>
      <c r="AR13" s="45"/>
      <c r="AS13" s="45"/>
      <c r="AT13" s="45"/>
      <c r="AU13" s="45"/>
      <c r="AV13" s="45"/>
    </row>
    <row r="14" spans="1:52" x14ac:dyDescent="0.25">
      <c r="A14" s="1"/>
      <c r="D14" s="57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5"/>
      <c r="AJ14" s="45"/>
      <c r="AK14" s="45"/>
      <c r="AL14" s="45"/>
      <c r="AM14" s="45"/>
      <c r="AN14" s="45"/>
      <c r="AO14" s="45"/>
      <c r="AP14" s="45"/>
      <c r="AR14" s="45"/>
      <c r="AS14" s="45"/>
      <c r="AT14" s="45"/>
      <c r="AU14" s="45"/>
      <c r="AV14" s="45"/>
    </row>
    <row r="15" spans="1:52" x14ac:dyDescent="0.25"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58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</row>
    <row r="16" spans="1:52" s="59" customFormat="1" ht="16.5" thickBot="1" x14ac:dyDescent="0.3">
      <c r="B16" s="60" t="s">
        <v>57</v>
      </c>
      <c r="C16" s="60"/>
      <c r="D16" s="60"/>
      <c r="E16" s="61">
        <f>+E11</f>
        <v>4000</v>
      </c>
      <c r="F16" s="61">
        <f t="shared" ref="F16:AD16" si="5">+F11</f>
        <v>850</v>
      </c>
      <c r="G16" s="61">
        <f t="shared" si="5"/>
        <v>2000</v>
      </c>
      <c r="H16" s="61">
        <f t="shared" si="5"/>
        <v>0</v>
      </c>
      <c r="I16" s="61">
        <f t="shared" si="5"/>
        <v>0</v>
      </c>
      <c r="J16" s="61">
        <f t="shared" si="5"/>
        <v>0</v>
      </c>
      <c r="K16" s="61">
        <f t="shared" si="5"/>
        <v>0</v>
      </c>
      <c r="L16" s="61">
        <f t="shared" si="5"/>
        <v>0</v>
      </c>
      <c r="M16" s="61">
        <f t="shared" si="5"/>
        <v>0</v>
      </c>
      <c r="N16" s="61">
        <f t="shared" si="5"/>
        <v>0</v>
      </c>
      <c r="O16" s="61">
        <f t="shared" si="5"/>
        <v>2000</v>
      </c>
      <c r="P16" s="61">
        <f t="shared" si="5"/>
        <v>195</v>
      </c>
      <c r="Q16" s="61">
        <f t="shared" si="5"/>
        <v>25</v>
      </c>
      <c r="R16" s="61">
        <f t="shared" si="5"/>
        <v>64.038461538461533</v>
      </c>
      <c r="S16" s="61">
        <f t="shared" si="5"/>
        <v>284.03846153846155</v>
      </c>
      <c r="T16" s="61">
        <f t="shared" si="5"/>
        <v>0</v>
      </c>
      <c r="U16" s="61">
        <f t="shared" si="5"/>
        <v>0</v>
      </c>
      <c r="V16" s="61">
        <f t="shared" si="5"/>
        <v>0</v>
      </c>
      <c r="W16" s="61">
        <f t="shared" si="5"/>
        <v>0</v>
      </c>
      <c r="X16" s="61">
        <f t="shared" si="5"/>
        <v>284.03846153846155</v>
      </c>
      <c r="Y16" s="61">
        <f t="shared" si="5"/>
        <v>1715.9615384615386</v>
      </c>
      <c r="Z16" s="61">
        <f t="shared" si="5"/>
        <v>265</v>
      </c>
      <c r="AA16" s="61">
        <f t="shared" si="5"/>
        <v>30</v>
      </c>
      <c r="AB16" s="61">
        <f t="shared" si="5"/>
        <v>19.599999999999998</v>
      </c>
      <c r="AC16" s="61">
        <f t="shared" si="5"/>
        <v>314.60000000000002</v>
      </c>
      <c r="AD16" s="61">
        <f t="shared" si="5"/>
        <v>598.63846153846157</v>
      </c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</row>
    <row r="17" spans="2:52" ht="15" customHeight="1" thickTop="1" x14ac:dyDescent="0.25">
      <c r="B17" s="1"/>
      <c r="C17" s="1"/>
      <c r="D17" s="1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</row>
    <row r="18" spans="2:52" x14ac:dyDescent="0.25">
      <c r="B18" s="1"/>
      <c r="C18" s="1"/>
      <c r="D18" s="1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</row>
    <row r="19" spans="2:52" x14ac:dyDescent="0.25">
      <c r="B19" s="1"/>
      <c r="C19" s="1"/>
      <c r="D19" s="1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</row>
    <row r="20" spans="2:52" x14ac:dyDescent="0.25">
      <c r="B20" s="1" t="s">
        <v>58</v>
      </c>
      <c r="C20" s="1"/>
      <c r="D20" s="1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 t="s">
        <v>59</v>
      </c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 t="s">
        <v>59</v>
      </c>
      <c r="AB20" s="63"/>
      <c r="AC20" s="63"/>
      <c r="AD20" s="63"/>
      <c r="AE20" s="63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</row>
    <row r="21" spans="2:52" x14ac:dyDescent="0.25">
      <c r="Y21" s="63"/>
    </row>
    <row r="22" spans="2:52" x14ac:dyDescent="0.25">
      <c r="Y22" s="57"/>
      <c r="Z22" s="57"/>
    </row>
    <row r="35" spans="13:13" x14ac:dyDescent="0.25">
      <c r="M35" s="64"/>
    </row>
  </sheetData>
  <mergeCells count="4">
    <mergeCell ref="D2:G2"/>
    <mergeCell ref="P3:X3"/>
    <mergeCell ref="Z3:AD3"/>
    <mergeCell ref="H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090E-08A4-4A8A-8D31-C096BBEC131A}">
  <dimension ref="A1:AZ34"/>
  <sheetViews>
    <sheetView topLeftCell="A4" workbookViewId="0">
      <selection activeCell="P24" sqref="P24"/>
    </sheetView>
  </sheetViews>
  <sheetFormatPr baseColWidth="10" defaultRowHeight="15" x14ac:dyDescent="0.25"/>
  <cols>
    <col min="1" max="1" width="6.28515625" bestFit="1" customWidth="1"/>
    <col min="2" max="2" width="15.7109375" customWidth="1"/>
    <col min="3" max="3" width="10.28515625" customWidth="1"/>
    <col min="5" max="5" width="9.42578125" customWidth="1"/>
    <col min="6" max="6" width="14.28515625" style="2" hidden="1" customWidth="1"/>
    <col min="7" max="7" width="10.85546875" style="2" customWidth="1"/>
    <col min="8" max="9" width="8.7109375" style="2" customWidth="1"/>
    <col min="10" max="10" width="10" style="2" customWidth="1"/>
    <col min="11" max="11" width="7.28515625" style="2" customWidth="1"/>
    <col min="12" max="14" width="8.7109375" style="2" customWidth="1"/>
    <col min="15" max="15" width="9.7109375" style="2" customWidth="1"/>
    <col min="16" max="16" width="9.42578125" style="2" customWidth="1"/>
    <col min="17" max="17" width="10.85546875" style="2" customWidth="1"/>
    <col min="18" max="18" width="7.7109375" style="2" customWidth="1"/>
    <col min="19" max="19" width="10.28515625" style="2" customWidth="1"/>
    <col min="20" max="20" width="10.85546875" style="2" customWidth="1"/>
    <col min="21" max="21" width="8" customWidth="1"/>
    <col min="22" max="22" width="10.28515625" customWidth="1"/>
    <col min="23" max="23" width="8.28515625" customWidth="1"/>
    <col min="24" max="24" width="9.7109375" customWidth="1"/>
    <col min="25" max="25" width="11.7109375" customWidth="1"/>
    <col min="33" max="33" width="11.7109375" bestFit="1" customWidth="1"/>
  </cols>
  <sheetData>
    <row r="1" spans="1:52" ht="15.75" thickBot="1" x14ac:dyDescent="0.3">
      <c r="B1" s="1" t="s">
        <v>0</v>
      </c>
      <c r="C1" s="1"/>
      <c r="AH1" s="1"/>
    </row>
    <row r="2" spans="1:52" ht="15.75" thickBot="1" x14ac:dyDescent="0.3">
      <c r="B2" s="1" t="s">
        <v>1</v>
      </c>
      <c r="C2" s="1"/>
      <c r="D2" s="3" t="s">
        <v>60</v>
      </c>
      <c r="E2" s="4"/>
      <c r="F2" s="4"/>
      <c r="G2" s="5"/>
      <c r="AH2" s="1"/>
    </row>
    <row r="3" spans="1:52" x14ac:dyDescent="0.25">
      <c r="B3" s="1" t="s">
        <v>2</v>
      </c>
      <c r="C3" s="1"/>
      <c r="F3" s="6"/>
      <c r="G3" s="6"/>
      <c r="H3" s="6"/>
      <c r="I3" s="6"/>
      <c r="J3" s="6"/>
      <c r="K3" s="6"/>
      <c r="L3" s="6"/>
      <c r="M3" s="6"/>
      <c r="N3" s="6"/>
      <c r="O3" s="6"/>
      <c r="P3" s="7" t="s">
        <v>3</v>
      </c>
      <c r="Q3" s="7"/>
      <c r="R3" s="7"/>
      <c r="S3" s="7"/>
      <c r="T3" s="7"/>
      <c r="U3" s="7"/>
      <c r="V3" s="7"/>
      <c r="W3" s="7"/>
      <c r="X3" s="7"/>
      <c r="Y3" s="8"/>
      <c r="Z3" s="9" t="s">
        <v>4</v>
      </c>
      <c r="AA3" s="9"/>
      <c r="AB3" s="9"/>
      <c r="AC3" s="9"/>
      <c r="AD3" s="9"/>
      <c r="AE3" s="1"/>
      <c r="AF3" s="1"/>
      <c r="AG3" s="1"/>
      <c r="AH3" s="1"/>
    </row>
    <row r="4" spans="1:52" x14ac:dyDescent="0.25">
      <c r="A4" s="10"/>
      <c r="B4" s="11" t="s">
        <v>5</v>
      </c>
      <c r="C4" s="11"/>
      <c r="D4" s="12"/>
      <c r="E4" s="13"/>
      <c r="F4" s="14"/>
      <c r="G4" s="15"/>
      <c r="H4" s="15"/>
      <c r="I4" s="15"/>
      <c r="J4" s="15"/>
      <c r="K4" s="15"/>
      <c r="L4" s="15"/>
      <c r="M4" s="15"/>
      <c r="N4" s="15"/>
      <c r="O4" s="16" t="s">
        <v>6</v>
      </c>
      <c r="P4" s="17" t="s">
        <v>7</v>
      </c>
      <c r="Q4" s="14" t="s">
        <v>7</v>
      </c>
      <c r="R4" s="15" t="s">
        <v>7</v>
      </c>
      <c r="S4" s="18"/>
      <c r="T4" s="17" t="s">
        <v>8</v>
      </c>
      <c r="U4" s="17" t="s">
        <v>8</v>
      </c>
      <c r="V4" s="15"/>
      <c r="W4" s="17" t="s">
        <v>8</v>
      </c>
      <c r="X4" s="15"/>
      <c r="Y4" s="19" t="s">
        <v>9</v>
      </c>
      <c r="Z4" s="20"/>
      <c r="AA4" s="18"/>
      <c r="AB4" s="18"/>
      <c r="AC4" s="21"/>
      <c r="AD4" s="18"/>
      <c r="AE4" s="1"/>
      <c r="AF4" s="1"/>
      <c r="AG4" s="1"/>
      <c r="AH4" s="1"/>
    </row>
    <row r="5" spans="1:52" s="34" customFormat="1" ht="60" x14ac:dyDescent="0.25">
      <c r="A5" s="22" t="s">
        <v>10</v>
      </c>
      <c r="B5" s="22" t="s">
        <v>11</v>
      </c>
      <c r="C5" s="22"/>
      <c r="D5" s="22" t="s">
        <v>12</v>
      </c>
      <c r="E5" s="22" t="s">
        <v>13</v>
      </c>
      <c r="F5" s="22" t="s">
        <v>14</v>
      </c>
      <c r="G5" s="23" t="s">
        <v>15</v>
      </c>
      <c r="H5" s="23" t="s">
        <v>16</v>
      </c>
      <c r="I5" s="23" t="s">
        <v>16</v>
      </c>
      <c r="J5" s="23" t="s">
        <v>61</v>
      </c>
      <c r="K5" s="23" t="s">
        <v>17</v>
      </c>
      <c r="L5" s="23" t="s">
        <v>18</v>
      </c>
      <c r="M5" s="23" t="s">
        <v>19</v>
      </c>
      <c r="N5" s="23" t="s">
        <v>19</v>
      </c>
      <c r="O5" s="24" t="s">
        <v>20</v>
      </c>
      <c r="P5" s="25" t="s">
        <v>21</v>
      </c>
      <c r="Q5" s="22" t="s">
        <v>22</v>
      </c>
      <c r="R5" s="23" t="s">
        <v>23</v>
      </c>
      <c r="S5" s="26" t="s">
        <v>24</v>
      </c>
      <c r="T5" s="27" t="s">
        <v>25</v>
      </c>
      <c r="U5" s="28" t="s">
        <v>26</v>
      </c>
      <c r="V5" s="29" t="s">
        <v>27</v>
      </c>
      <c r="W5" s="27" t="s">
        <v>28</v>
      </c>
      <c r="X5" s="30" t="s">
        <v>29</v>
      </c>
      <c r="Y5" s="24" t="s">
        <v>30</v>
      </c>
      <c r="Z5" s="31" t="s">
        <v>31</v>
      </c>
      <c r="AA5" s="26" t="s">
        <v>32</v>
      </c>
      <c r="AB5" s="26" t="s">
        <v>33</v>
      </c>
      <c r="AC5" s="32" t="s">
        <v>4</v>
      </c>
      <c r="AD5" s="26" t="s">
        <v>34</v>
      </c>
      <c r="AE5" s="33"/>
      <c r="AF5" s="33"/>
      <c r="AG5" s="33"/>
      <c r="AH5" s="33"/>
    </row>
    <row r="6" spans="1:52" x14ac:dyDescent="0.25">
      <c r="A6" s="35">
        <v>1</v>
      </c>
      <c r="B6" s="35" t="s">
        <v>35</v>
      </c>
      <c r="C6" s="35"/>
      <c r="D6" s="36" t="s">
        <v>36</v>
      </c>
      <c r="E6" s="37">
        <v>1700</v>
      </c>
      <c r="F6" s="37">
        <f>+E6/2</f>
        <v>850</v>
      </c>
      <c r="G6" s="37">
        <v>0</v>
      </c>
      <c r="H6" s="37">
        <f t="shared" ref="H6:H10" si="0">+E6/48/4.33</f>
        <v>8.1793687451886061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f>+H6*0.5*16</f>
        <v>65.434949961508849</v>
      </c>
      <c r="O6" s="38">
        <f>+N6+M6+K6+L6+I6+J6</f>
        <v>65.434949961508849</v>
      </c>
      <c r="P6" s="37">
        <v>0</v>
      </c>
      <c r="Q6" s="37">
        <v>0</v>
      </c>
      <c r="R6" s="37">
        <v>0</v>
      </c>
      <c r="S6" s="39">
        <f>+P6+Q6+R6</f>
        <v>0</v>
      </c>
      <c r="T6" s="40">
        <v>0</v>
      </c>
      <c r="U6" s="41">
        <v>0</v>
      </c>
      <c r="V6" s="41">
        <v>0</v>
      </c>
      <c r="W6" s="41">
        <f>+T6-U6</f>
        <v>0</v>
      </c>
      <c r="X6" s="39">
        <f>+U6+S6+V6</f>
        <v>0</v>
      </c>
      <c r="Y6" s="42">
        <f>+O6-X6</f>
        <v>65.434949961508849</v>
      </c>
      <c r="Z6" s="37">
        <v>0</v>
      </c>
      <c r="AA6" s="37">
        <v>0</v>
      </c>
      <c r="AB6" s="37">
        <v>0</v>
      </c>
      <c r="AC6" s="43">
        <f>+Z6+AA6+AB6</f>
        <v>0</v>
      </c>
      <c r="AD6" s="39">
        <f>+AC6+S6</f>
        <v>0</v>
      </c>
      <c r="AE6" s="44"/>
      <c r="AF6" s="44"/>
      <c r="AG6" s="44"/>
      <c r="AH6" s="44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</row>
    <row r="7" spans="1:52" x14ac:dyDescent="0.25">
      <c r="A7" s="35">
        <v>2</v>
      </c>
      <c r="B7" s="35" t="s">
        <v>37</v>
      </c>
      <c r="C7" s="35"/>
      <c r="D7" s="36" t="s">
        <v>38</v>
      </c>
      <c r="E7" s="37">
        <v>825</v>
      </c>
      <c r="F7" s="37"/>
      <c r="G7" s="37">
        <v>0</v>
      </c>
      <c r="H7" s="37">
        <f t="shared" si="0"/>
        <v>3.9693995381062357</v>
      </c>
      <c r="I7" s="37">
        <v>0</v>
      </c>
      <c r="J7" s="37">
        <v>150</v>
      </c>
      <c r="K7" s="37">
        <v>0</v>
      </c>
      <c r="L7" s="37">
        <f>+H7*2.5*0</f>
        <v>0</v>
      </c>
      <c r="M7" s="37">
        <v>0</v>
      </c>
      <c r="N7" s="37">
        <f t="shared" ref="N7:N10" si="1">+H7*0.5*16</f>
        <v>31.755196304849886</v>
      </c>
      <c r="O7" s="38">
        <f>+N7+M7+K7+L7+I7+J7</f>
        <v>181.75519630484987</v>
      </c>
      <c r="P7" s="37">
        <v>0</v>
      </c>
      <c r="Q7" s="37">
        <v>0</v>
      </c>
      <c r="R7" s="37">
        <v>0</v>
      </c>
      <c r="S7" s="39">
        <f>+P7+Q7+R7</f>
        <v>0</v>
      </c>
      <c r="T7" s="40">
        <v>0</v>
      </c>
      <c r="U7" s="41">
        <v>0</v>
      </c>
      <c r="V7" s="41">
        <v>0</v>
      </c>
      <c r="W7" s="41">
        <f>+T7-U7</f>
        <v>0</v>
      </c>
      <c r="X7" s="39">
        <f>+U7+S7+V7</f>
        <v>0</v>
      </c>
      <c r="Y7" s="42">
        <f>+O7-X7</f>
        <v>181.75519630484987</v>
      </c>
      <c r="Z7" s="37">
        <v>0</v>
      </c>
      <c r="AA7" s="37">
        <v>0</v>
      </c>
      <c r="AB7" s="37">
        <v>0</v>
      </c>
      <c r="AC7" s="43">
        <f>+Z7+AA7+AB7</f>
        <v>0</v>
      </c>
      <c r="AD7" s="39">
        <f>+AC7+S7</f>
        <v>0</v>
      </c>
      <c r="AE7" s="44"/>
      <c r="AF7" s="44"/>
      <c r="AG7" s="44"/>
      <c r="AH7" s="44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</row>
    <row r="8" spans="1:52" x14ac:dyDescent="0.25">
      <c r="A8" s="46">
        <v>3</v>
      </c>
      <c r="B8" s="46" t="s">
        <v>55</v>
      </c>
      <c r="C8" s="46"/>
      <c r="D8" s="36" t="s">
        <v>56</v>
      </c>
      <c r="E8" s="37">
        <f>325*2</f>
        <v>650</v>
      </c>
      <c r="F8" s="37">
        <f>+E8/2</f>
        <v>325</v>
      </c>
      <c r="G8" s="37">
        <v>0</v>
      </c>
      <c r="H8" s="37">
        <f t="shared" si="0"/>
        <v>3.127405696689761</v>
      </c>
      <c r="I8" s="37">
        <v>0</v>
      </c>
      <c r="J8" s="37">
        <v>100</v>
      </c>
      <c r="K8" s="37">
        <v>0</v>
      </c>
      <c r="L8" s="37">
        <v>0</v>
      </c>
      <c r="M8" s="37">
        <v>0</v>
      </c>
      <c r="N8" s="37">
        <f t="shared" si="1"/>
        <v>25.019245573518088</v>
      </c>
      <c r="O8" s="38">
        <f t="shared" ref="O8:O9" si="2">+N8+M8+K8+L8+I8+J8</f>
        <v>125.01924557351809</v>
      </c>
      <c r="P8" s="37">
        <v>0</v>
      </c>
      <c r="Q8" s="37">
        <f>+E8/48/4.33*P8</f>
        <v>0</v>
      </c>
      <c r="R8" s="37">
        <v>0</v>
      </c>
      <c r="S8" s="39">
        <f>+Q8</f>
        <v>0</v>
      </c>
      <c r="T8" s="40">
        <v>0</v>
      </c>
      <c r="U8" s="41">
        <v>0</v>
      </c>
      <c r="V8" s="41">
        <v>0</v>
      </c>
      <c r="W8" s="41">
        <f>+T8-U8</f>
        <v>0</v>
      </c>
      <c r="X8" s="39">
        <f>+U8+S8+V8</f>
        <v>0</v>
      </c>
      <c r="Y8" s="42">
        <f>+O8-X8</f>
        <v>125.01924557351809</v>
      </c>
      <c r="Z8" s="37">
        <v>0</v>
      </c>
      <c r="AA8" s="37">
        <v>0</v>
      </c>
      <c r="AB8" s="37">
        <v>0</v>
      </c>
      <c r="AC8" s="43">
        <f>+Z8+AA8+AB8</f>
        <v>0</v>
      </c>
      <c r="AD8" s="39">
        <f>+AC8+S8</f>
        <v>0</v>
      </c>
      <c r="AE8" s="44"/>
      <c r="AF8" s="44"/>
      <c r="AG8" s="44"/>
      <c r="AH8" s="44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</row>
    <row r="9" spans="1:52" x14ac:dyDescent="0.25">
      <c r="A9" s="46">
        <v>4</v>
      </c>
      <c r="B9" s="35" t="s">
        <v>39</v>
      </c>
      <c r="C9" s="35"/>
      <c r="D9" s="48" t="s">
        <v>40</v>
      </c>
      <c r="E9" s="37">
        <f>325*2</f>
        <v>650</v>
      </c>
      <c r="F9" s="37"/>
      <c r="G9" s="37">
        <v>0</v>
      </c>
      <c r="H9" s="37">
        <f t="shared" si="0"/>
        <v>3.127405696689761</v>
      </c>
      <c r="I9" s="37">
        <v>0</v>
      </c>
      <c r="J9" s="37">
        <v>100</v>
      </c>
      <c r="K9" s="37">
        <v>0</v>
      </c>
      <c r="L9" s="37">
        <v>0</v>
      </c>
      <c r="M9" s="37">
        <v>0</v>
      </c>
      <c r="N9" s="37">
        <f t="shared" si="1"/>
        <v>25.019245573518088</v>
      </c>
      <c r="O9" s="38">
        <f t="shared" si="2"/>
        <v>125.01924557351809</v>
      </c>
      <c r="P9" s="37">
        <v>0</v>
      </c>
      <c r="Q9" s="37">
        <v>0</v>
      </c>
      <c r="R9" s="37">
        <v>0</v>
      </c>
      <c r="S9" s="39">
        <v>0</v>
      </c>
      <c r="T9" s="40">
        <v>0</v>
      </c>
      <c r="U9" s="41">
        <v>0</v>
      </c>
      <c r="V9" s="41">
        <v>0</v>
      </c>
      <c r="W9" s="41">
        <v>0</v>
      </c>
      <c r="X9" s="39">
        <f>+U9+S9+V9</f>
        <v>0</v>
      </c>
      <c r="Y9" s="42">
        <f t="shared" ref="Y9:Y10" si="3">+O9-X9</f>
        <v>125.01924557351809</v>
      </c>
      <c r="Z9" s="37">
        <v>0</v>
      </c>
      <c r="AA9" s="37">
        <v>0</v>
      </c>
      <c r="AB9" s="37">
        <v>0</v>
      </c>
      <c r="AC9" s="43">
        <v>0</v>
      </c>
      <c r="AD9" s="47">
        <f>+AC9+S9</f>
        <v>0</v>
      </c>
      <c r="AE9" s="44"/>
      <c r="AF9" s="44"/>
      <c r="AG9" s="44"/>
      <c r="AH9" s="44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</row>
    <row r="10" spans="1:52" x14ac:dyDescent="0.25">
      <c r="A10" s="46">
        <v>5</v>
      </c>
      <c r="B10" s="35" t="s">
        <v>41</v>
      </c>
      <c r="C10" s="35"/>
      <c r="D10" s="48" t="s">
        <v>42</v>
      </c>
      <c r="E10" s="37">
        <v>650</v>
      </c>
      <c r="F10" s="37"/>
      <c r="G10" s="37">
        <v>0</v>
      </c>
      <c r="H10" s="37">
        <f t="shared" si="0"/>
        <v>3.127405696689761</v>
      </c>
      <c r="I10" s="37">
        <v>0</v>
      </c>
      <c r="J10" s="37">
        <v>100</v>
      </c>
      <c r="K10" s="37">
        <v>0</v>
      </c>
      <c r="L10" s="37">
        <v>0</v>
      </c>
      <c r="M10" s="37">
        <v>0</v>
      </c>
      <c r="N10" s="37">
        <f t="shared" si="1"/>
        <v>25.019245573518088</v>
      </c>
      <c r="O10" s="38">
        <f>+N10+M10+K10+L10+I10+J10+650/2</f>
        <v>450.01924557351811</v>
      </c>
      <c r="P10" s="37">
        <v>0</v>
      </c>
      <c r="Q10" s="37">
        <v>0</v>
      </c>
      <c r="R10" s="37">
        <v>0</v>
      </c>
      <c r="S10" s="39">
        <v>0</v>
      </c>
      <c r="T10" s="40">
        <v>0</v>
      </c>
      <c r="U10" s="41">
        <v>0</v>
      </c>
      <c r="V10" s="41">
        <v>0</v>
      </c>
      <c r="W10" s="41">
        <v>0</v>
      </c>
      <c r="X10" s="39">
        <v>0</v>
      </c>
      <c r="Y10" s="42">
        <f t="shared" si="3"/>
        <v>450.01924557351811</v>
      </c>
      <c r="Z10" s="37">
        <v>0</v>
      </c>
      <c r="AA10" s="37">
        <v>0</v>
      </c>
      <c r="AB10" s="37">
        <v>0</v>
      </c>
      <c r="AC10" s="43">
        <v>0</v>
      </c>
      <c r="AD10" s="39">
        <v>0</v>
      </c>
      <c r="AE10" s="44"/>
      <c r="AF10" s="44"/>
      <c r="AG10" s="44"/>
      <c r="AH10" s="44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</row>
    <row r="11" spans="1:52" ht="15.75" thickBot="1" x14ac:dyDescent="0.3">
      <c r="B11" s="1" t="s">
        <v>2</v>
      </c>
      <c r="C11" s="1"/>
      <c r="D11" s="1"/>
      <c r="E11" s="49">
        <f t="shared" ref="E11:AD11" si="4">SUM(E6:E10)</f>
        <v>4475</v>
      </c>
      <c r="F11" s="49">
        <f t="shared" si="4"/>
        <v>1175</v>
      </c>
      <c r="G11" s="49">
        <f t="shared" si="4"/>
        <v>0</v>
      </c>
      <c r="H11" s="49">
        <f t="shared" si="4"/>
        <v>21.530985373364125</v>
      </c>
      <c r="I11" s="49">
        <f t="shared" si="4"/>
        <v>0</v>
      </c>
      <c r="J11" s="49">
        <f t="shared" si="4"/>
        <v>450</v>
      </c>
      <c r="K11" s="49">
        <f t="shared" si="4"/>
        <v>0</v>
      </c>
      <c r="L11" s="49">
        <f t="shared" si="4"/>
        <v>0</v>
      </c>
      <c r="M11" s="49">
        <f t="shared" si="4"/>
        <v>0</v>
      </c>
      <c r="N11" s="49">
        <f t="shared" si="4"/>
        <v>172.247882986913</v>
      </c>
      <c r="O11" s="49">
        <f t="shared" si="4"/>
        <v>947.24788298691305</v>
      </c>
      <c r="P11" s="49">
        <f t="shared" si="4"/>
        <v>0</v>
      </c>
      <c r="Q11" s="49">
        <f t="shared" si="4"/>
        <v>0</v>
      </c>
      <c r="R11" s="49">
        <f t="shared" si="4"/>
        <v>0</v>
      </c>
      <c r="S11" s="49">
        <f t="shared" si="4"/>
        <v>0</v>
      </c>
      <c r="T11" s="49">
        <f t="shared" si="4"/>
        <v>0</v>
      </c>
      <c r="U11" s="49">
        <f t="shared" si="4"/>
        <v>0</v>
      </c>
      <c r="V11" s="49">
        <f t="shared" si="4"/>
        <v>0</v>
      </c>
      <c r="W11" s="49">
        <f t="shared" si="4"/>
        <v>0</v>
      </c>
      <c r="X11" s="49">
        <f t="shared" si="4"/>
        <v>0</v>
      </c>
      <c r="Y11" s="49">
        <f t="shared" si="4"/>
        <v>947.24788298691305</v>
      </c>
      <c r="Z11" s="49">
        <f t="shared" si="4"/>
        <v>0</v>
      </c>
      <c r="AA11" s="49">
        <f t="shared" si="4"/>
        <v>0</v>
      </c>
      <c r="AB11" s="49">
        <f t="shared" si="4"/>
        <v>0</v>
      </c>
      <c r="AC11" s="49">
        <f t="shared" si="4"/>
        <v>0</v>
      </c>
      <c r="AD11" s="49">
        <f t="shared" si="4"/>
        <v>0</v>
      </c>
      <c r="AE11" s="50"/>
      <c r="AF11" s="50"/>
      <c r="AG11" s="50"/>
      <c r="AH11" s="50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</row>
    <row r="12" spans="1:52" x14ac:dyDescent="0.25">
      <c r="A12" s="1"/>
      <c r="B12" s="1"/>
      <c r="C12" s="1"/>
      <c r="D12" s="51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50"/>
      <c r="T12" s="50"/>
      <c r="U12" s="44"/>
      <c r="V12" s="44"/>
      <c r="W12" s="44"/>
      <c r="X12" s="50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</row>
    <row r="13" spans="1:52" x14ac:dyDescent="0.25">
      <c r="A13" s="1"/>
      <c r="D13" s="57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5"/>
      <c r="AJ13" s="45"/>
      <c r="AK13" s="45"/>
      <c r="AL13" s="45"/>
      <c r="AM13" s="45"/>
      <c r="AN13" s="45"/>
      <c r="AO13" s="45"/>
      <c r="AP13" s="45"/>
      <c r="AR13" s="45"/>
      <c r="AS13" s="45"/>
      <c r="AT13" s="45"/>
      <c r="AU13" s="45"/>
      <c r="AV13" s="45"/>
    </row>
    <row r="14" spans="1:52" x14ac:dyDescent="0.25"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58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</row>
    <row r="15" spans="1:52" s="59" customFormat="1" ht="16.5" thickBot="1" x14ac:dyDescent="0.3">
      <c r="B15" s="60" t="s">
        <v>57</v>
      </c>
      <c r="C15" s="60"/>
      <c r="D15" s="60"/>
      <c r="E15" s="61">
        <f>+E11</f>
        <v>4475</v>
      </c>
      <c r="F15" s="61">
        <f t="shared" ref="F15:AD15" si="5">+F11</f>
        <v>1175</v>
      </c>
      <c r="G15" s="61">
        <f t="shared" si="5"/>
        <v>0</v>
      </c>
      <c r="H15" s="61">
        <f t="shared" si="5"/>
        <v>21.530985373364125</v>
      </c>
      <c r="I15" s="61">
        <f t="shared" si="5"/>
        <v>0</v>
      </c>
      <c r="J15" s="61">
        <f t="shared" si="5"/>
        <v>450</v>
      </c>
      <c r="K15" s="61">
        <f t="shared" si="5"/>
        <v>0</v>
      </c>
      <c r="L15" s="61">
        <f t="shared" si="5"/>
        <v>0</v>
      </c>
      <c r="M15" s="61">
        <f t="shared" si="5"/>
        <v>0</v>
      </c>
      <c r="N15" s="61">
        <f t="shared" si="5"/>
        <v>172.247882986913</v>
      </c>
      <c r="O15" s="61">
        <f t="shared" si="5"/>
        <v>947.24788298691305</v>
      </c>
      <c r="P15" s="61">
        <f t="shared" si="5"/>
        <v>0</v>
      </c>
      <c r="Q15" s="61">
        <f t="shared" si="5"/>
        <v>0</v>
      </c>
      <c r="R15" s="61">
        <f t="shared" si="5"/>
        <v>0</v>
      </c>
      <c r="S15" s="61">
        <f t="shared" si="5"/>
        <v>0</v>
      </c>
      <c r="T15" s="61">
        <f t="shared" si="5"/>
        <v>0</v>
      </c>
      <c r="U15" s="61">
        <f t="shared" si="5"/>
        <v>0</v>
      </c>
      <c r="V15" s="61">
        <f t="shared" si="5"/>
        <v>0</v>
      </c>
      <c r="W15" s="61">
        <f t="shared" si="5"/>
        <v>0</v>
      </c>
      <c r="X15" s="61">
        <f t="shared" si="5"/>
        <v>0</v>
      </c>
      <c r="Y15" s="61">
        <f t="shared" si="5"/>
        <v>947.24788298691305</v>
      </c>
      <c r="Z15" s="61">
        <f t="shared" si="5"/>
        <v>0</v>
      </c>
      <c r="AA15" s="61">
        <f t="shared" si="5"/>
        <v>0</v>
      </c>
      <c r="AB15" s="61">
        <f t="shared" si="5"/>
        <v>0</v>
      </c>
      <c r="AC15" s="61">
        <f t="shared" si="5"/>
        <v>0</v>
      </c>
      <c r="AD15" s="61">
        <f t="shared" si="5"/>
        <v>0</v>
      </c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6" spans="1:52" ht="15" customHeight="1" thickTop="1" x14ac:dyDescent="0.25">
      <c r="B16" s="1"/>
      <c r="C16" s="1"/>
      <c r="D16" s="1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</row>
    <row r="17" spans="2:52" x14ac:dyDescent="0.25">
      <c r="B17" s="1"/>
      <c r="C17" s="1"/>
      <c r="D17" s="1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</row>
    <row r="18" spans="2:52" x14ac:dyDescent="0.25">
      <c r="B18" s="1"/>
      <c r="C18" s="1"/>
      <c r="D18" s="1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</row>
    <row r="19" spans="2:52" x14ac:dyDescent="0.25">
      <c r="B19" s="1" t="s">
        <v>58</v>
      </c>
      <c r="C19" s="1"/>
      <c r="D19" s="1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 t="s">
        <v>59</v>
      </c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 t="s">
        <v>59</v>
      </c>
      <c r="AB19" s="63"/>
      <c r="AC19" s="63"/>
      <c r="AD19" s="63"/>
      <c r="AE19" s="63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</row>
    <row r="20" spans="2:52" x14ac:dyDescent="0.25">
      <c r="Y20" s="63"/>
    </row>
    <row r="21" spans="2:52" x14ac:dyDescent="0.25">
      <c r="Y21" s="57"/>
      <c r="Z21" s="57"/>
    </row>
    <row r="34" spans="13:13" x14ac:dyDescent="0.25">
      <c r="M34" s="64"/>
    </row>
  </sheetData>
  <mergeCells count="3">
    <mergeCell ref="D2:G2"/>
    <mergeCell ref="P3:X3"/>
    <mergeCell ref="Z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CAJA DE SEGUROS SOCIAL</vt:lpstr>
      <vt:lpstr>PLANILLA DE HONORARIOS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Soto</dc:creator>
  <cp:lastModifiedBy>Ariel Soto</cp:lastModifiedBy>
  <dcterms:created xsi:type="dcterms:W3CDTF">2026-06-20T03:48:45Z</dcterms:created>
  <dcterms:modified xsi:type="dcterms:W3CDTF">2026-06-20T04:01:55Z</dcterms:modified>
</cp:coreProperties>
</file>